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fc5de0609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d31f950755a42e9"/>
    <x:sheet xmlns:r="http://schemas.openxmlformats.org/officeDocument/2006/relationships" name="交付清单" sheetId="2" r:id="Re0d0da595fba43a9"/>
    <x:sheet xmlns:r="http://schemas.openxmlformats.org/officeDocument/2006/relationships" name="场景追加" sheetId="3" r:id="Rdacc460c57604981"/>
    <x:sheet xmlns:r="http://schemas.openxmlformats.org/officeDocument/2006/relationships" name="成品规格" sheetId="4" r:id="Ra227a67e29de4bd5"/>
    <x:sheet xmlns:r="http://schemas.openxmlformats.org/officeDocument/2006/relationships" name="Gate记录" sheetId="5" r:id="Re73abcd7051341b7"/>
    <x:sheet xmlns:r="http://schemas.openxmlformats.org/officeDocument/2006/relationships" name="风险控制" sheetId="6" r:id="Ra692d65d1710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yyyy-mm-dd hh:mm"/>
  </x:numFmts>
  <x:fonts count="7">
    <x:font>
      <x:sz val="11"/>
      <x:name val="Carlito"/>
    </x:font>
    <x:font>
      <x:b/>
      <x:sz val="15"/>
      <x:color rgb="FF19324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9324D"/>
      <x:name val="Arial"/>
    </x:font>
    <x:font>
      <x:sz val="11"/>
      <x:name val="Arial"/>
    </x:font>
    <x:font>
      <x:b/>
      <x:sz val="10"/>
      <x:color rgb="FFA33A3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FFF3D6"/>
      </x:patternFill>
    </x:fill>
    <x:fill>
      <x:patternFill patternType="solid">
        <x:fgColor rgb="FFEAF2F8"/>
      </x:patternFill>
    </x:fill>
    <x:fill>
      <x:patternFill patternType="solid">
        <x:fgColor rgb="FFFCE9E7"/>
      </x:patternFill>
    </x:fill>
  </x:fills>
  <x:borders count="5">
    <x:border/>
    <x:border>
      <x:right style="thin">
        <x:color rgb="FFFFFFFF"/>
      </x:right>
      <x:bottom style="medium">
        <x:color rgb="FF19324D"/>
      </x:bottom>
    </x:border>
    <x:border>
      <x:left style="thin">
        <x:color rgb="FFFFFFFF"/>
      </x:left>
      <x:bottom style="medium">
        <x:color rgb="FF19324D"/>
      </x:bottom>
    </x:border>
    <x:border>
      <x:bottom style="thin">
        <x:color rgb="FFC8D1DA"/>
      </x:bottom>
    </x:border>
    <x:border>
      <x:left style="thin">
        <x:color rgb="FFFFFFFF"/>
      </x:left>
      <x:right style="thin">
        <x:color rgb="FFFFFFFF"/>
      </x:right>
      <x:bottom style="medium">
        <x:color rgb="FF19324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201" fontId="3" fillId="0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7"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i/>
        <x:color rgb="FF5F6B76"/>
      </x:font>
      <x:fill>
        <x:patternFill patternType="solid">
          <x:bgColor rgb="FFEEF1F4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i/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b/>
        <x:color rgb="FFA33A35"/>
      </x:font>
      <x:fill>
        <x:patternFill patternType="solid">
          <x:bgColor rgb="FFFCE9E7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b/>
        <x:color rgb="FFA33A35"/>
      </x:font>
      <x:fill>
        <x:patternFill patternType="solid">
          <x:bgColor rgb="FFFCE9E7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56a241f114205" /><Relationship Type="http://schemas.openxmlformats.org/officeDocument/2006/relationships/theme" Target="/xl/theme/theme1.xml" Id="R0d053316353541f1" /><Relationship Type="http://schemas.openxmlformats.org/officeDocument/2006/relationships/sharedStrings" Target="/xl/sharedStrings.xml" Id="Rfdc040d8a50e42b2" /><Relationship Type="http://schemas.openxmlformats.org/officeDocument/2006/relationships/worksheet" Target="/xl/worksheets/sheet1.xml" Id="R4d31f950755a42e9" /><Relationship Type="http://schemas.openxmlformats.org/officeDocument/2006/relationships/worksheet" Target="/xl/worksheets/sheet2.xml" Id="Re0d0da595fba43a9" /><Relationship Type="http://schemas.openxmlformats.org/officeDocument/2006/relationships/worksheet" Target="/xl/worksheets/sheet3.xml" Id="Rdacc460c57604981" /><Relationship Type="http://schemas.openxmlformats.org/officeDocument/2006/relationships/worksheet" Target="/xl/worksheets/sheet4.xml" Id="Ra227a67e29de4bd5" /><Relationship Type="http://schemas.openxmlformats.org/officeDocument/2006/relationships/worksheet" Target="/xl/worksheets/sheet5.xml" Id="Re73abcd7051341b7" /><Relationship Type="http://schemas.openxmlformats.org/officeDocument/2006/relationships/worksheet" Target="/xl/worksheets/sheet6.xml" Id="Ra692d65d1710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3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</x:row>
    <x:row r="2">
      <x:c r="A2" s="2" t="str">
        <x:v>物料交付与验收总览</x:v>
      </x:c>
      <x:c r="B2" s="55"/>
      <x:c r="C2" s="55"/>
      <x:c r="D2" s="55"/>
      <x:c r="E2" s="55"/>
      <x:c r="F2" s="55"/>
      <x:c r="G2" s="55"/>
      <x:c r="H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 ht="30" customHeight="1">
      <x:c r="A5" s="11" t="str">
        <x:v>项目字段</x:v>
      </x:c>
      <x:c r="B5" s="12" t="str">
        <x:v>填写内容</x:v>
      </x:c>
      <x:c r="C5" s="55"/>
      <x:c r="D5" s="11" t="str">
        <x:v>指标</x:v>
      </x:c>
      <x:c r="E5" s="25" t="str">
        <x:v>总数</x:v>
      </x:c>
      <x:c r="F5" s="25" t="str">
        <x:v>已完成/通过</x:v>
      </x:c>
      <x:c r="G5" s="25" t="str">
        <x:v>完成率</x:v>
      </x:c>
      <x:c r="H5" s="12" t="str">
        <x:v>待处理</x:v>
      </x:c>
    </x:row>
    <x:row r="6">
      <x:c r="A6" s="17" t="str">
        <x:v>项目名称</x:v>
      </x:c>
      <x:c r="B6" s="19" t="str"/>
      <x:c r="C6" s="55"/>
      <x:c r="D6" s="17" t="str">
        <x:v>必需交付物（按文件计）</x:v>
      </x:c>
      <x:c r="E6" s="28" t="n">
        <x:f>COUNTIF('交付清单'!$B$5:$B$22,"必需")</x:f>
        <x:v>9</x:v>
      </x:c>
      <x:c r="F6" s="28" t="n">
        <x:f>COUNTIFS('交付清单'!$B$5:$B$22,"必需",'交付清单'!$F$5:$F$22,"已完成")</x:f>
        <x:v>0</x:v>
      </x:c>
      <x:c r="G6" s="29" t="n">
        <x:f>IF(E6=0,0,F6/E6)</x:f>
        <x:v>0</x:v>
      </x:c>
      <x:c r="H6" s="28" t="n">
        <x:f>E6-F6</x:f>
        <x:v>9</x:v>
      </x:c>
    </x:row>
    <x:row r="7">
      <x:c r="A7" s="17" t="str">
        <x:v>交付版本</x:v>
      </x:c>
      <x:c r="B7" s="19" t="str">
        <x:v>v1.0</x:v>
      </x:c>
      <x:c r="C7" s="55"/>
      <x:c r="D7" s="17" t="str">
        <x:v>全部交付物</x:v>
      </x:c>
      <x:c r="E7" s="28" t="n">
        <x:f>COUNTA('交付清单'!$A$5:$A$22)</x:f>
        <x:v>18</x:v>
      </x:c>
      <x:c r="F7" s="28" t="n">
        <x:f>COUNTIF('交付清单'!$F$5:$F$22,"已完成")</x:f>
        <x:v>0</x:v>
      </x:c>
      <x:c r="G7" s="29" t="n">
        <x:f>IF(E7=0,0,F7/E7)</x:f>
        <x:v>0</x:v>
      </x:c>
      <x:c r="H7" s="28" t="n">
        <x:f>E7-F7</x:f>
        <x:v>18</x:v>
      </x:c>
    </x:row>
    <x:row r="8">
      <x:c r="A8" s="17" t="str">
        <x:v>计划交付日期</x:v>
      </x:c>
      <x:c r="B8" s="21" t="str"/>
      <x:c r="C8" s="55"/>
      <x:c r="D8" s="17" t="str">
        <x:v>已触发的场景追加项</x:v>
      </x:c>
      <x:c r="E8" s="28" t="n">
        <x:f>COUNTIF('场景追加'!$F$5:$F$14,"是")</x:f>
        <x:v>0</x:v>
      </x:c>
      <x:c r="F8" s="28" t="n">
        <x:f>COUNTIFS('场景追加'!$F$5:$F$14,"是",'场景追加'!$G$5:$G$14,"已完成")</x:f>
        <x:v>0</x:v>
      </x:c>
      <x:c r="G8" s="29" t="n">
        <x:f>IF(E8=0,0,F8/E8)</x:f>
        <x:v>0</x:v>
      </x:c>
      <x:c r="H8" s="28" t="n">
        <x:f>E8-F8</x:f>
        <x:v>0</x:v>
      </x:c>
    </x:row>
    <x:row r="9">
      <x:c r="A9" s="17" t="str">
        <x:v>总负责人</x:v>
      </x:c>
      <x:c r="B9" s="19" t="str"/>
      <x:c r="C9" s="55"/>
      <x:c r="D9" s="18" t="str">
        <x:v>成品规格检查</x:v>
      </x:c>
      <x:c r="E9" s="30" t="n">
        <x:f>COUNTA('成品规格'!$A$5:$A$24)</x:f>
        <x:v>20</x:v>
      </x:c>
      <x:c r="F9" s="30" t="n">
        <x:f>COUNTIF('成品规格'!$E$5:$E$24,"PASS")</x:f>
        <x:v>0</x:v>
      </x:c>
      <x:c r="G9" s="31" t="n">
        <x:f>IF(E9=0,0,F9/E9)</x:f>
        <x:v>0</x:v>
      </x:c>
      <x:c r="H9" s="30" t="n">
        <x:f>E9-F9</x:f>
        <x:v>20</x:v>
      </x:c>
    </x:row>
    <x:row r="10">
      <x:c r="A10" s="18" t="str">
        <x:v>备注</x:v>
      </x:c>
      <x:c r="B10" s="20" t="str"/>
      <x:c r="C10" s="55"/>
      <x:c r="D10" s="55"/>
      <x:c r="E10" s="55"/>
      <x:c r="F10" s="55"/>
      <x:c r="G10" s="55"/>
      <x:c r="H10" s="55"/>
    </x:row>
    <x:row r="11" ht="30" customHeight="1">
      <x:c r="A11" s="55"/>
      <x:c r="B11" s="55"/>
      <x:c r="C11" s="55"/>
      <x:c r="D11" s="11" t="str">
        <x:v>Gate状态</x:v>
      </x:c>
      <x:c r="E11" s="25" t="str">
        <x:v>总数</x:v>
      </x:c>
      <x:c r="F11" s="25" t="str">
        <x:v>已通过</x:v>
      </x:c>
      <x:c r="G11" s="12" t="str">
        <x:v>待处理</x:v>
      </x:c>
      <x:c r="H11" s="55"/>
    </x:row>
    <x:row r="12">
      <x:c r="A12" s="55"/>
      <x:c r="B12" s="55"/>
      <x:c r="C12" s="55"/>
      <x:c r="D12" s="18" t="str">
        <x:v>Gate 1–4</x:v>
      </x:c>
      <x:c r="E12" s="30" t="n">
        <x:v>4</x:v>
      </x:c>
      <x:c r="F12" s="30" t="n">
        <x:f>COUNTIF('Gate记录'!$G$5:$G$8,"通过")</x:f>
        <x:v>0</x:v>
      </x:c>
      <x:c r="G12" s="30" t="n">
        <x:f>E12-F12</x:f>
        <x:v>4</x:v>
      </x:c>
      <x:c r="H12" s="55"/>
    </x:row>
    <x:row r="13">
      <x:c r="A13" s="57" t="str">
        <x:v>使用说明</x:v>
      </x:c>
      <x:c r="B13" s="57" t="str">
        <x:v>使用说明</x:v>
      </x:c>
      <x:c r="C13" s="57" t="str">
        <x:v>使用说明</x:v>
      </x:c>
      <x:c r="D13" s="57" t="str">
        <x:v>使用说明</x:v>
      </x:c>
      <x:c r="E13" s="57" t="str">
        <x:v>使用说明</x:v>
      </x:c>
      <x:c r="F13" s="57" t="str">
        <x:v>使用说明</x:v>
      </x:c>
      <x:c r="G13" s="57" t="str">
        <x:v>使用说明</x:v>
      </x:c>
      <x:c r="H13" s="57" t="str">
        <x:v>使用说明</x:v>
      </x:c>
    </x:row>
    <x:row r="14" ht="26" customHeight="1">
      <x:c r="A14" s="17" t="str">
        <x:v>1. 在“交付清单”中填写负责人、期限和状态；必需项缺一不可。</x:v>
      </x:c>
      <x:c r="B14" s="17"/>
      <x:c r="C14" s="17"/>
      <x:c r="D14" s="17"/>
      <x:c r="E14" s="17"/>
      <x:c r="F14" s="17"/>
      <x:c r="G14" s="17"/>
      <x:c r="H14" s="17"/>
    </x:row>
    <x:row r="15" ht="26" customHeight="1">
      <x:c r="A15" s="17" t="str">
        <x:v>2. 在“场景追加”中先判断是否触发，再跟踪状态；未触发项可标记为不适用。</x:v>
      </x:c>
      <x:c r="B15" s="17"/>
      <x:c r="C15" s="17"/>
      <x:c r="D15" s="17"/>
      <x:c r="E15" s="17"/>
      <x:c r="F15" s="17"/>
      <x:c r="G15" s="17"/>
      <x:c r="H15" s="17"/>
    </x:row>
    <x:row r="16" ht="26" customHeight="1">
      <x:c r="A16" s="17" t="str">
        <x:v>3. 在“成品规格”中填写实测值，并选择 PASS、FAIL 或豁免；豁免必须写明理由。</x:v>
      </x:c>
      <x:c r="B16" s="17"/>
      <x:c r="C16" s="17"/>
      <x:c r="D16" s="17"/>
      <x:c r="E16" s="17"/>
      <x:c r="F16" s="17"/>
      <x:c r="G16" s="17"/>
      <x:c r="H16" s="17"/>
    </x:row>
    <x:row r="17" ht="26" customHeight="1">
      <x:c r="A17" s="18" t="str">
        <x:v>4. 四个 Gate 均需记录签字人、时间、提交物、判断依据、结论，以及必要的退回信息。</x:v>
      </x:c>
      <x:c r="B17" s="18"/>
      <x:c r="C17" s="18"/>
      <x:c r="D17" s="18"/>
      <x:c r="E17" s="18"/>
      <x:c r="F17" s="18"/>
      <x:c r="G17" s="18"/>
      <x:c r="H17" s="18"/>
    </x:row>
  </x:sheetData>
  <x:mergeCells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38" hidden="0" customWidth="1"/>
    <x:col min="5" max="5" width="58" hidden="0" customWidth="1"/>
    <x:col min="6" max="6" width="13" hidden="0" customWidth="1"/>
    <x:col min="7" max="7" width="14" hidden="0" customWidth="1"/>
    <x:col min="8" max="8" width="14" hidden="0" customWidth="1"/>
    <x:col min="9" max="9" width="28" hidden="0" customWidth="1"/>
  </x:cols>
  <x:sheetData>
    <x:row r="2">
      <x:c r="A2" s="2" t="str">
        <x:v>物料交付清单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0" customHeight="1">
      <x:c r="A4" s="11" t="str">
        <x:v>序号</x:v>
      </x:c>
      <x:c r="B4" s="25" t="str">
        <x:v>优先级</x:v>
      </x:c>
      <x:c r="C4" s="25" t="str">
        <x:v>交付物</x:v>
      </x:c>
      <x:c r="D4" s="25" t="str">
        <x:v>文件名/路径</x:v>
      </x:c>
      <x:c r="E4" s="25" t="str">
        <x:v>规格与内容</x:v>
      </x:c>
      <x:c r="F4" s="25" t="str">
        <x:v>状态</x:v>
      </x:c>
      <x:c r="G4" s="25" t="str">
        <x:v>负责人</x:v>
      </x:c>
      <x:c r="H4" s="25" t="str">
        <x:v>期限</x:v>
      </x:c>
      <x:c r="I4" s="12" t="str">
        <x:v>备注</x:v>
      </x:c>
    </x:row>
    <x:row r="5">
      <x:c r="A5" s="28" t="n">
        <x:v>1</x:v>
      </x:c>
      <x:c r="B5" s="39" t="str">
        <x:v>必需</x:v>
      </x:c>
      <x:c r="C5" s="17" t="str">
        <x:v>中文版海报</x:v>
      </x:c>
      <x:c r="D5" s="17" t="str">
        <x:v>poster_zh_v1.0_YYYYMMDD.png</x:v>
      </x:c>
      <x:c r="E5" s="17" t="str">
        <x:v>4:5；1080×1350 px；sRGB</x:v>
      </x:c>
      <x:c r="F5" s="28" t="str">
        <x:v>未开始</x:v>
      </x:c>
      <x:c r="G5" s="28" t="str"/>
      <x:c r="H5" s="37"/>
      <x:c r="I5" s="17" t="str"/>
    </x:row>
    <x:row r="6">
      <x:c r="A6" s="28" t="n">
        <x:v>2</x:v>
      </x:c>
      <x:c r="B6" s="39" t="str">
        <x:v>必需</x:v>
      </x:c>
      <x:c r="C6" s="17" t="str">
        <x:v>英文版海报</x:v>
      </x:c>
      <x:c r="D6" s="17" t="str">
        <x:v>poster_en_v1.0_YYYYMMDD.png</x:v>
      </x:c>
      <x:c r="E6" s="17" t="str">
        <x:v>4:5；1080×1350 px；sRGB</x:v>
      </x:c>
      <x:c r="F6" s="28" t="str">
        <x:v>未开始</x:v>
      </x:c>
      <x:c r="G6" s="28" t="str"/>
      <x:c r="H6" s="37"/>
      <x:c r="I6" s="17" t="str"/>
    </x:row>
    <x:row r="7">
      <x:c r="A7" s="28" t="n">
        <x:v>3</x:v>
      </x:c>
      <x:c r="B7" s="39" t="str">
        <x:v>必需</x:v>
      </x:c>
      <x:c r="C7" s="17" t="str">
        <x:v>校验报告</x:v>
      </x:c>
      <x:c r="D7" s="17" t="str">
        <x:v>check-report.md</x:v>
      </x:c>
      <x:c r="E7" s="17" t="str">
        <x:v>每项写明 PASS / FAIL / 豁免理由，以及实测值 vs 目标值</x:v>
      </x:c>
      <x:c r="F7" s="28" t="str">
        <x:v>未开始</x:v>
      </x:c>
      <x:c r="G7" s="28" t="str"/>
      <x:c r="H7" s="37"/>
      <x:c r="I7" s="17" t="str"/>
    </x:row>
    <x:row r="8">
      <x:c r="A8" s="28" t="n">
        <x:v>4</x:v>
      </x:c>
      <x:c r="B8" s="39" t="str">
        <x:v>必需</x:v>
      </x:c>
      <x:c r="C8" s="17" t="str">
        <x:v>母本对照</x:v>
      </x:c>
      <x:c r="D8" s="17" t="str">
        <x:v>copy-diff.md</x:v>
      </x:c>
      <x:c r="E8" s="17" t="str">
        <x:v>9项逐条列出母本原文与成品实际文本；差异应为空</x:v>
      </x:c>
      <x:c r="F8" s="28" t="str">
        <x:v>未开始</x:v>
      </x:c>
      <x:c r="G8" s="28" t="str"/>
      <x:c r="H8" s="37"/>
      <x:c r="I8" s="17" t="str"/>
    </x:row>
    <x:row r="9">
      <x:c r="A9" s="28" t="n">
        <x:v>5</x:v>
      </x:c>
      <x:c r="B9" s="39" t="str">
        <x:v>必需</x:v>
      </x:c>
      <x:c r="C9" s="17" t="str">
        <x:v>Gate 1记录</x:v>
      </x:c>
      <x:c r="D9" s="17" t="str">
        <x:v>gate-records/gate1.md</x:v>
      </x:c>
      <x:c r="E9" s="17" t="str">
        <x:v>签字人、时间、AI提交物、判断依据、结论、退回意见、回退目标</x:v>
      </x:c>
      <x:c r="F9" s="28" t="str">
        <x:v>未开始</x:v>
      </x:c>
      <x:c r="G9" s="28" t="str"/>
      <x:c r="H9" s="37"/>
      <x:c r="I9" s="17" t="str"/>
    </x:row>
    <x:row r="10">
      <x:c r="A10" s="28" t="n">
        <x:v>6</x:v>
      </x:c>
      <x:c r="B10" s="39" t="str">
        <x:v>必需</x:v>
      </x:c>
      <x:c r="C10" s="17" t="str">
        <x:v>Gate 2记录</x:v>
      </x:c>
      <x:c r="D10" s="17" t="str">
        <x:v>gate-records/gate2.md</x:v>
      </x:c>
      <x:c r="E10" s="17" t="str">
        <x:v>同上</x:v>
      </x:c>
      <x:c r="F10" s="28" t="str">
        <x:v>未开始</x:v>
      </x:c>
      <x:c r="G10" s="28" t="str"/>
      <x:c r="H10" s="37"/>
      <x:c r="I10" s="17" t="str"/>
    </x:row>
    <x:row r="11">
      <x:c r="A11" s="28" t="n">
        <x:v>7</x:v>
      </x:c>
      <x:c r="B11" s="39" t="str">
        <x:v>必需</x:v>
      </x:c>
      <x:c r="C11" s="17" t="str">
        <x:v>Gate 3记录</x:v>
      </x:c>
      <x:c r="D11" s="17" t="str">
        <x:v>gate-records/gate3.md</x:v>
      </x:c>
      <x:c r="E11" s="17" t="str">
        <x:v>同上</x:v>
      </x:c>
      <x:c r="F11" s="28" t="str">
        <x:v>未开始</x:v>
      </x:c>
      <x:c r="G11" s="28" t="str"/>
      <x:c r="H11" s="37"/>
      <x:c r="I11" s="17" t="str"/>
    </x:row>
    <x:row r="12">
      <x:c r="A12" s="28" t="n">
        <x:v>8</x:v>
      </x:c>
      <x:c r="B12" s="39" t="str">
        <x:v>必需</x:v>
      </x:c>
      <x:c r="C12" s="17" t="str">
        <x:v>Gate 4记录</x:v>
      </x:c>
      <x:c r="D12" s="17" t="str">
        <x:v>gate-records/gate4.md</x:v>
      </x:c>
      <x:c r="E12" s="17" t="str">
        <x:v>同上</x:v>
      </x:c>
      <x:c r="F12" s="28" t="str">
        <x:v>未开始</x:v>
      </x:c>
      <x:c r="G12" s="28" t="str"/>
      <x:c r="H12" s="37"/>
      <x:c r="I12" s="17" t="str"/>
    </x:row>
    <x:row r="13">
      <x:c r="A13" s="28" t="n">
        <x:v>9</x:v>
      </x:c>
      <x:c r="B13" s="39" t="str">
        <x:v>必需</x:v>
      </x:c>
      <x:c r="C13" s="17" t="str">
        <x:v>设计系统</x:v>
      </x:c>
      <x:c r="D13" s="17" t="str">
        <x:v>design-tokens.json</x:v>
      </x:c>
      <x:c r="E13" s="17" t="str">
        <x:v>色值、字体、字号阶梯和栅格的具体数值</x:v>
      </x:c>
      <x:c r="F13" s="28" t="str">
        <x:v>未开始</x:v>
      </x:c>
      <x:c r="G13" s="28" t="str"/>
      <x:c r="H13" s="37"/>
      <x:c r="I13" s="17" t="str"/>
    </x:row>
    <x:row r="14">
      <x:c r="A14" s="28" t="n">
        <x:v>10</x:v>
      </x:c>
      <x:c r="B14" s="40" t="str">
        <x:v>强烈建议</x:v>
      </x:c>
      <x:c r="C14" s="17" t="str">
        <x:v>中文打印版</x:v>
      </x:c>
      <x:c r="D14" s="17" t="str">
        <x:v>poster_zh_v1.0_YYYYMMDD_print.pdf</x:v>
      </x:c>
      <x:c r="E14" s="17" t="str">
        <x:v>成品区2400×3000 px @300 dpi；每边3 mm出血；总尺寸约2471×3071 px</x:v>
      </x:c>
      <x:c r="F14" s="28" t="str">
        <x:v>未开始</x:v>
      </x:c>
      <x:c r="G14" s="28" t="str"/>
      <x:c r="H14" s="37"/>
      <x:c r="I14" s="17" t="str"/>
    </x:row>
    <x:row r="15">
      <x:c r="A15" s="28" t="n">
        <x:v>11</x:v>
      </x:c>
      <x:c r="B15" s="40" t="str">
        <x:v>强烈建议</x:v>
      </x:c>
      <x:c r="C15" s="17" t="str">
        <x:v>英文打印版</x:v>
      </x:c>
      <x:c r="D15" s="17" t="str">
        <x:v>poster_en_v1.0_YYYYMMDD_print.pdf</x:v>
      </x:c>
      <x:c r="E15" s="17" t="str">
        <x:v>同上</x:v>
      </x:c>
      <x:c r="F15" s="28" t="str">
        <x:v>未开始</x:v>
      </x:c>
      <x:c r="G15" s="28" t="str"/>
      <x:c r="H15" s="37"/>
      <x:c r="I15" s="17" t="str"/>
    </x:row>
    <x:row r="16">
      <x:c r="A16" s="28" t="n">
        <x:v>12</x:v>
      </x:c>
      <x:c r="B16" s="40" t="str">
        <x:v>强烈建议</x:v>
      </x:c>
      <x:c r="C16" s="17" t="str">
        <x:v>中文可编辑源文件</x:v>
      </x:c>
      <x:c r="D16" s="17" t="str">
        <x:v>poster_zh_source.svg</x:v>
      </x:c>
      <x:c r="E16" s="17" t="str">
        <x:v>文本、图形和版式可编辑</x:v>
      </x:c>
      <x:c r="F16" s="28" t="str">
        <x:v>未开始</x:v>
      </x:c>
      <x:c r="G16" s="28" t="str"/>
      <x:c r="H16" s="37"/>
      <x:c r="I16" s="17" t="str"/>
    </x:row>
    <x:row r="17">
      <x:c r="A17" s="28" t="n">
        <x:v>13</x:v>
      </x:c>
      <x:c r="B17" s="40" t="str">
        <x:v>强烈建议</x:v>
      </x:c>
      <x:c r="C17" s="17" t="str">
        <x:v>英文可编辑源文件</x:v>
      </x:c>
      <x:c r="D17" s="17" t="str">
        <x:v>poster_en_source.svg</x:v>
      </x:c>
      <x:c r="E17" s="17" t="str">
        <x:v>文本、图形和版式可编辑</x:v>
      </x:c>
      <x:c r="F17" s="28" t="str">
        <x:v>未开始</x:v>
      </x:c>
      <x:c r="G17" s="28" t="str"/>
      <x:c r="H17" s="37"/>
      <x:c r="I17" s="17" t="str"/>
    </x:row>
    <x:row r="18">
      <x:c r="A18" s="28" t="n">
        <x:v>14</x:v>
      </x:c>
      <x:c r="B18" s="40" t="str">
        <x:v>强烈建议</x:v>
      </x:c>
      <x:c r="C18" s="17" t="str">
        <x:v>交付说明</x:v>
      </x:c>
      <x:c r="D18" s="17" t="str">
        <x:v>00_交付说明.md</x:v>
      </x:c>
      <x:c r="E18" s="17" t="str">
        <x:v>说明这是什么、怎么改、谁签字、有效期</x:v>
      </x:c>
      <x:c r="F18" s="28" t="str">
        <x:v>未开始</x:v>
      </x:c>
      <x:c r="G18" s="28" t="str"/>
      <x:c r="H18" s="37"/>
      <x:c r="I18" s="17" t="str"/>
    </x:row>
    <x:row r="19">
      <x:c r="A19" s="28" t="n">
        <x:v>15</x:v>
      </x:c>
      <x:c r="B19" s="41" t="str">
        <x:v>强烈建议</x:v>
      </x:c>
      <x:c r="C19" s="17" t="str">
        <x:v>分类结果</x:v>
      </x:c>
      <x:c r="D19" s="17" t="str">
        <x:v>theme.yaml</x:v>
      </x:c>
      <x:c r="E19" s="17" t="str">
        <x:v>包含domain、function、audience、timeliness、authority</x:v>
      </x:c>
      <x:c r="F19" s="28" t="str">
        <x:v>未开始</x:v>
      </x:c>
      <x:c r="G19" s="28" t="str"/>
      <x:c r="H19" s="37"/>
      <x:c r="I19" s="17" t="str"/>
    </x:row>
    <x:row r="20">
      <x:c r="A20" s="28" t="n">
        <x:v>16</x:v>
      </x:c>
      <x:c r="B20" s="41" t="str">
        <x:v>复用加分</x:v>
      </x:c>
      <x:c r="C20" s="17" t="str">
        <x:v>空模板</x:v>
      </x:c>
      <x:c r="D20" s="17" t="str">
        <x:v>template_4x5.svg</x:v>
      </x:c>
      <x:c r="E20" s="17" t="str">
        <x:v>保留版式和样式，替换文案即可复用</x:v>
      </x:c>
      <x:c r="F20" s="28" t="str">
        <x:v>未开始</x:v>
      </x:c>
      <x:c r="G20" s="28" t="str"/>
      <x:c r="H20" s="37"/>
      <x:c r="I20" s="17" t="str"/>
    </x:row>
    <x:row r="21">
      <x:c r="A21" s="28" t="n">
        <x:v>17</x:v>
      </x:c>
      <x:c r="B21" s="41" t="str">
        <x:v>复用加分</x:v>
      </x:c>
      <x:c r="C21" s="17" t="str">
        <x:v>指令包</x:v>
      </x:c>
      <x:c r="D21" s="17" t="str">
        <x:v>prompt-pack.md</x:v>
      </x:c>
      <x:c r="E21" s="17" t="str">
        <x:v>下次可直接提交给AI使用</x:v>
      </x:c>
      <x:c r="F21" s="28" t="str">
        <x:v>未开始</x:v>
      </x:c>
      <x:c r="G21" s="28" t="str"/>
      <x:c r="H21" s="37"/>
      <x:c r="I21" s="17" t="str"/>
    </x:row>
    <x:row r="22">
      <x:c r="A22" s="30" t="n">
        <x:v>18</x:v>
      </x:c>
      <x:c r="B22" s="42" t="str">
        <x:v>复用加分</x:v>
      </x:c>
      <x:c r="C22" s="18" t="str">
        <x:v>复用说明</x:v>
      </x:c>
      <x:c r="D22" s="18" t="str">
        <x:v>reuse-guide.md</x:v>
      </x:c>
      <x:c r="E22" s="18" t="str">
        <x:v>说明更换日期、地点、语言时需要修改的位置</x:v>
      </x:c>
      <x:c r="F22" s="30" t="str">
        <x:v>未开始</x:v>
      </x:c>
      <x:c r="G22" s="30" t="str"/>
      <x:c r="H22" s="38"/>
      <x:c r="I22" s="18" t="str"/>
    </x:row>
  </x:sheetData>
  <x:conditionalFormatting sqref="F5:F22">
    <x:cfRule type="expression" dxfId="0" priority="1">
      <x:formula>$F5="未开始"</x:formula>
    </x:cfRule>
    <x:cfRule type="expression" dxfId="1" priority="2">
      <x:formula>$F5="进行中"</x:formula>
    </x:cfRule>
    <x:cfRule type="expression" dxfId="2" priority="3">
      <x:formula>$F5="已完成"</x:formula>
    </x:cfRule>
    <x:cfRule type="expression" dxfId="3" priority="4">
      <x:formula>$F5="不适用"</x:formula>
    </x:cfRule>
  </x:conditionalFormatting>
  <x:dataValidations count="1">
    <x:dataValidation type="list" sqref="F5:F22">
      <x:formula1>"未开始,进行中,已完成,不适用"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65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0" hidden="0" customWidth="1"/>
    <x:col min="5" max="5" width="48" hidden="0" customWidth="1"/>
    <x:col min="6" max="6" width="13" hidden="0" customWidth="1"/>
    <x:col min="7" max="7" width="13" hidden="0" customWidth="1"/>
    <x:col min="8" max="8" width="14" hidden="0" customWidth="1"/>
    <x:col min="9" max="9" width="28" hidden="0" customWidth="1"/>
  </x:cols>
  <x:sheetData>
    <x:row r="2">
      <x:c r="A2" s="2" t="str">
        <x:v>按场景追加物料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0" customHeight="1">
      <x:c r="A4" s="11" t="str">
        <x:v>序号</x:v>
      </x:c>
      <x:c r="B4" s="25" t="str">
        <x:v>追加物料</x:v>
      </x:c>
      <x:c r="C4" s="25" t="str">
        <x:v>文件名建议</x:v>
      </x:c>
      <x:c r="D4" s="25" t="str">
        <x:v>触发条件</x:v>
      </x:c>
      <x:c r="E4" s="25" t="str">
        <x:v>验收要求</x:v>
      </x:c>
      <x:c r="F4" s="25" t="str">
        <x:v>是否触发</x:v>
      </x:c>
      <x:c r="G4" s="25" t="str">
        <x:v>状态</x:v>
      </x:c>
      <x:c r="H4" s="25" t="str">
        <x:v>负责人</x:v>
      </x:c>
      <x:c r="I4" s="12" t="str">
        <x:v>备注</x:v>
      </x:c>
    </x:row>
    <x:row r="5">
      <x:c r="A5" s="28" t="n">
        <x:v>1</x:v>
      </x:c>
      <x:c r="B5" s="17" t="str">
        <x:v>纯文字版</x:v>
      </x:c>
      <x:c r="C5" s="17" t="str">
        <x:v>notice_zh.txt</x:v>
      </x:c>
      <x:c r="D5" s="17" t="str">
        <x:v>建议默认提供；尤其用于微信群发和读屏</x:v>
      </x:c>
      <x:c r="E5" s="17" t="str">
        <x:v>信息完整；阅读顺序正确；电话、日期、地点清晰</x:v>
      </x:c>
      <x:c r="F5" s="28" t="str">
        <x:v>待判断</x:v>
      </x:c>
      <x:c r="G5" s="28" t="str">
        <x:v>未开始</x:v>
      </x:c>
      <x:c r="H5" s="28" t="str"/>
      <x:c r="I5" s="17" t="str"/>
    </x:row>
    <x:row r="6">
      <x:c r="A6" s="28" t="n">
        <x:v>2</x:v>
      </x:c>
      <x:c r="B6" s="17" t="str">
        <x:v>大字版</x:v>
      </x:c>
      <x:c r="C6" s="17" t="str">
        <x:v>poster_zh_large_v1.0_YYYYMMDD.png</x:v>
      </x:c>
      <x:c r="D6" s="17" t="str">
        <x:v>受众包含老年人或低视力人士</x:v>
      </x:c>
      <x:c r="E6" s="17" t="str">
        <x:v>正文为标准版×1.5，且不低于48 px</x:v>
      </x:c>
      <x:c r="F6" s="28" t="str">
        <x:v>待判断</x:v>
      </x:c>
      <x:c r="G6" s="28" t="str">
        <x:v>未开始</x:v>
      </x:c>
      <x:c r="H6" s="28" t="str"/>
      <x:c r="I6" s="17" t="str"/>
    </x:row>
    <x:row r="7">
      <x:c r="A7" s="28" t="n">
        <x:v>3</x:v>
      </x:c>
      <x:c r="B7" s="17" t="str">
        <x:v>灰度版PDF</x:v>
      </x:c>
      <x:c r="C7" s="17" t="str">
        <x:v>poster_zh_grayscale_v1.0_YYYYMMDD.pdf</x:v>
      </x:c>
      <x:c r="D7" s="17" t="str">
        <x:v>使用场所只有黑白打印机</x:v>
      </x:c>
      <x:c r="E7" s="17" t="str">
        <x:v>灰度下保持4级信息层级</x:v>
      </x:c>
      <x:c r="F7" s="28" t="str">
        <x:v>待判断</x:v>
      </x:c>
      <x:c r="G7" s="28" t="str">
        <x:v>未开始</x:v>
      </x:c>
      <x:c r="H7" s="28" t="str"/>
      <x:c r="I7" s="17" t="str"/>
    </x:row>
    <x:row r="8">
      <x:c r="A8" s="28" t="n">
        <x:v>4</x:v>
      </x:c>
      <x:c r="B8" s="17" t="str">
        <x:v>横屏版</x:v>
      </x:c>
      <x:c r="C8" s="17" t="str">
        <x:v>poster_zh_screen_v1.0_YYYYMMDD.png</x:v>
      </x:c>
      <x:c r="D8" s="17" t="str">
        <x:v>用于电梯屏或社区大屏</x:v>
      </x:c>
      <x:c r="E8" s="17" t="str">
        <x:v>1920×1080；重新排版，不得拉伸竖版</x:v>
      </x:c>
      <x:c r="F8" s="28" t="str">
        <x:v>待判断</x:v>
      </x:c>
      <x:c r="G8" s="28" t="str">
        <x:v>未开始</x:v>
      </x:c>
      <x:c r="H8" s="28" t="str"/>
      <x:c r="I8" s="17" t="str"/>
    </x:row>
    <x:row r="9">
      <x:c r="A9" s="28" t="n">
        <x:v>5</x:v>
      </x:c>
      <x:c r="B9" s="17" t="str">
        <x:v>素材授权记录</x:v>
      </x:c>
      <x:c r="C9" s="17" t="str">
        <x:v>source.md</x:v>
      </x:c>
      <x:c r="D9" s="17" t="str">
        <x:v>使用图片、插图、图标或第三方素材</x:v>
      </x:c>
      <x:c r="E9" s="17" t="str">
        <x:v>写明来源、作者、授权类型、是否可商用</x:v>
      </x:c>
      <x:c r="F9" s="28" t="str">
        <x:v>待判断</x:v>
      </x:c>
      <x:c r="G9" s="28" t="str">
        <x:v>未开始</x:v>
      </x:c>
      <x:c r="H9" s="28" t="str"/>
      <x:c r="I9" s="17" t="str"/>
    </x:row>
    <x:row r="10">
      <x:c r="A10" s="28" t="n">
        <x:v>6</x:v>
      </x:c>
      <x:c r="B10" s="17" t="str">
        <x:v>有效期说明</x:v>
      </x:c>
      <x:c r="C10" s="17" t="str">
        <x:v>validity.md</x:v>
      </x:c>
      <x:c r="D10" s="17" t="str">
        <x:v>突发事件或应急信息</x:v>
      </x:c>
      <x:c r="E10" s="17" t="str">
        <x:v>写明失效时间、撤换责任人与撤换方式</x:v>
      </x:c>
      <x:c r="F10" s="28" t="str">
        <x:v>待判断</x:v>
      </x:c>
      <x:c r="G10" s="28" t="str">
        <x:v>未开始</x:v>
      </x:c>
      <x:c r="H10" s="28" t="str"/>
      <x:c r="I10" s="17" t="str"/>
    </x:row>
    <x:row r="11">
      <x:c r="A11" s="28" t="n">
        <x:v>7</x:v>
      </x:c>
      <x:c r="B11" s="17" t="str">
        <x:v>依据来源</x:v>
      </x:c>
      <x:c r="C11" s="17" t="str">
        <x:v>sources.md</x:v>
      </x:c>
      <x:c r="D11" s="17" t="str">
        <x:v>L1法定强制或L5商业便民类</x:v>
      </x:c>
      <x:c r="E11" s="17" t="str">
        <x:v>列出正式依据、发布日期、发布机构和链接/文号</x:v>
      </x:c>
      <x:c r="F11" s="28" t="str">
        <x:v>待判断</x:v>
      </x:c>
      <x:c r="G11" s="28" t="str">
        <x:v>未开始</x:v>
      </x:c>
      <x:c r="H11" s="28" t="str"/>
      <x:c r="I11" s="17" t="str"/>
    </x:row>
    <x:row r="12">
      <x:c r="A12" s="28" t="n">
        <x:v>8</x:v>
      </x:c>
      <x:c r="B12" s="17" t="str">
        <x:v>“禁止＋正确”成对图</x:v>
      </x:c>
      <x:c r="C12" s="17" t="str">
        <x:v>按项目命名</x:v>
      </x:c>
      <x:c r="D12" s="17" t="str">
        <x:v>S5警示禁止类</x:v>
      </x:c>
      <x:c r="E12" s="17" t="str">
        <x:v>禁止示例和正确做法必须成对出现；只交一张即不合格</x:v>
      </x:c>
      <x:c r="F12" s="28" t="str">
        <x:v>待判断</x:v>
      </x:c>
      <x:c r="G12" s="28" t="str">
        <x:v>未开始</x:v>
      </x:c>
      <x:c r="H12" s="28" t="str"/>
      <x:c r="I12" s="17" t="str"/>
    </x:row>
    <x:row r="13">
      <x:c r="A13" s="28" t="n">
        <x:v>9</x:v>
      </x:c>
      <x:c r="B13" s="17" t="str">
        <x:v>回退日志</x:v>
      </x:c>
      <x:c r="C13" s="17" t="str">
        <x:v>rollback-log.md</x:v>
      </x:c>
      <x:c r="D13" s="17" t="str">
        <x:v>发生任何Gate退回或版本回退</x:v>
      </x:c>
      <x:c r="E13" s="17" t="str">
        <x:v>每次写明回退步骤、原因和回退目标</x:v>
      </x:c>
      <x:c r="F13" s="28" t="str">
        <x:v>待判断</x:v>
      </x:c>
      <x:c r="G13" s="28" t="str">
        <x:v>未开始</x:v>
      </x:c>
      <x:c r="H13" s="28" t="str"/>
      <x:c r="I13" s="17" t="str"/>
    </x:row>
    <x:row r="14">
      <x:c r="A14" s="30" t="n">
        <x:v>10</x:v>
      </x:c>
      <x:c r="B14" s="18" t="str">
        <x:v>变更日志</x:v>
      </x:c>
      <x:c r="C14" s="18" t="str">
        <x:v>CHANGELOG.md</x:v>
      </x:c>
      <x:c r="D14" s="18" t="str">
        <x:v>出现两个及以上版本</x:v>
      </x:c>
      <x:c r="E14" s="18" t="str">
        <x:v>每个版本一行：修改内容、原因、批准人</x:v>
      </x:c>
      <x:c r="F14" s="30" t="str">
        <x:v>待判断</x:v>
      </x:c>
      <x:c r="G14" s="30" t="str">
        <x:v>未开始</x:v>
      </x:c>
      <x:c r="H14" s="30" t="str"/>
      <x:c r="I14" s="18" t="str"/>
    </x:row>
  </x:sheetData>
  <x:conditionalFormatting sqref="G5:G14">
    <x:cfRule type="expression" dxfId="4" priority="1">
      <x:formula>$G5="未开始"</x:formula>
    </x:cfRule>
    <x:cfRule type="expression" dxfId="5" priority="2">
      <x:formula>$G5="进行中"</x:formula>
    </x:cfRule>
    <x:cfRule type="expression" dxfId="6" priority="3">
      <x:formula>$G5="已完成"</x:formula>
    </x:cfRule>
    <x:cfRule type="expression" dxfId="7" priority="4">
      <x:formula>$G5="不适用"</x:formula>
    </x:cfRule>
  </x:conditionalFormatting>
  <x:conditionalFormatting sqref="F5:F14">
    <x:cfRule type="expression" dxfId="8" priority="5">
      <x:formula>$F5="是"</x:formula>
    </x:cfRule>
    <x:cfRule type="expression" dxfId="9" priority="6">
      <x:formula>$F5="否"</x:formula>
    </x:cfRule>
  </x:conditionalFormatting>
  <x:dataValidations count="2">
    <x:dataValidation type="list" sqref="F5:F14">
      <x:formula1>"待判断,是,否"</x:formula1>
    </x:dataValidation>
    <x:dataValidation type="list" sqref="G5:G14">
      <x:formula1>"未开始,进行中,已完成,不适用"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B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28" hidden="0" customWidth="1"/>
    <x:col min="5" max="5" width="13" hidden="0" customWidth="1"/>
    <x:col min="6" max="6" width="38" hidden="0" customWidth="1"/>
  </x:cols>
  <x:sheetData>
    <x:row r="2">
      <x:c r="A2" s="2" t="str">
        <x:v>成品文件规格检查</x:v>
      </x:c>
      <x:c r="B2" s="55"/>
      <x:c r="C2" s="55"/>
      <x:c r="D2" s="55"/>
      <x:c r="E2" s="55"/>
      <x:c r="F2" s="55"/>
    </x:row>
    <x:row r="3" ht="3" customHeight="1">
      <x:c r="A3" s="56"/>
      <x:c r="B3" s="56"/>
      <x:c r="C3" s="56"/>
      <x:c r="D3" s="56"/>
      <x:c r="E3" s="56"/>
      <x:c r="F3" s="56"/>
    </x:row>
    <x:row r="4" ht="30" customHeight="1">
      <x:c r="A4" s="11" t="str">
        <x:v>序号</x:v>
      </x:c>
      <x:c r="B4" s="25" t="str">
        <x:v>检查项</x:v>
      </x:c>
      <x:c r="C4" s="25" t="str">
        <x:v>目标值/判定标准</x:v>
      </x:c>
      <x:c r="D4" s="25" t="str">
        <x:v>实测值</x:v>
      </x:c>
      <x:c r="E4" s="25" t="str">
        <x:v>结论</x:v>
      </x:c>
      <x:c r="F4" s="12" t="str">
        <x:v>豁免理由/备注</x:v>
      </x:c>
    </x:row>
    <x:row r="5">
      <x:c r="A5" s="28" t="n">
        <x:v>1</x:v>
      </x:c>
      <x:c r="B5" s="17" t="str">
        <x:v>文件命名</x:v>
      </x:c>
      <x:c r="C5" s="17" t="str">
        <x:v>{物料}_{语言}_{版本}_{日期}.{扩展名}</x:v>
      </x:c>
      <x:c r="D5" s="17" t="str"/>
      <x:c r="E5" s="28" t="str">
        <x:v>待检查</x:v>
      </x:c>
      <x:c r="F5" s="17" t="str"/>
    </x:row>
    <x:row r="6">
      <x:c r="A6" s="28" t="n">
        <x:v>2</x:v>
      </x:c>
      <x:c r="B6" s="17" t="str">
        <x:v>画布尺寸</x:v>
      </x:c>
      <x:c r="C6" s="17" t="str">
        <x:v>1080×1350 px</x:v>
      </x:c>
      <x:c r="D6" s="17" t="str"/>
      <x:c r="E6" s="28" t="str">
        <x:v>待检查</x:v>
      </x:c>
      <x:c r="F6" s="17" t="str"/>
    </x:row>
    <x:row r="7">
      <x:c r="A7" s="28" t="n">
        <x:v>3</x:v>
      </x:c>
      <x:c r="B7" s="17" t="str">
        <x:v>画面比例</x:v>
      </x:c>
      <x:c r="C7" s="17" t="str">
        <x:v>4:5，尺寸容差±1 px</x:v>
      </x:c>
      <x:c r="D7" s="17" t="str"/>
      <x:c r="E7" s="28" t="str">
        <x:v>待检查</x:v>
      </x:c>
      <x:c r="F7" s="17" t="str"/>
    </x:row>
    <x:row r="8">
      <x:c r="A8" s="28" t="n">
        <x:v>4</x:v>
      </x:c>
      <x:c r="B8" s="17" t="str">
        <x:v>几何完整性</x:v>
      </x:c>
      <x:c r="C8" s="17" t="str">
        <x:v>未因适配A3或其他纸型而拉伸</x:v>
      </x:c>
      <x:c r="D8" s="17" t="str"/>
      <x:c r="E8" s="28" t="str">
        <x:v>待检查</x:v>
      </x:c>
      <x:c r="F8" s="17" t="str"/>
    </x:row>
    <x:row r="9">
      <x:c r="A9" s="28" t="n">
        <x:v>5</x:v>
      </x:c>
      <x:c r="B9" s="17" t="str">
        <x:v>PNG格式</x:v>
      </x:c>
      <x:c r="C9" s="17" t="str">
        <x:v>PNG-24</x:v>
      </x:c>
      <x:c r="D9" s="17" t="str"/>
      <x:c r="E9" s="28" t="str">
        <x:v>待检查</x:v>
      </x:c>
      <x:c r="F9" s="17" t="str"/>
    </x:row>
    <x:row r="10">
      <x:c r="A10" s="28" t="n">
        <x:v>6</x:v>
      </x:c>
      <x:c r="B10" s="17" t="str">
        <x:v>色彩空间</x:v>
      </x:c>
      <x:c r="C10" s="17" t="str">
        <x:v>sRGB</x:v>
      </x:c>
      <x:c r="D10" s="17" t="str"/>
      <x:c r="E10" s="28" t="str">
        <x:v>待检查</x:v>
      </x:c>
      <x:c r="F10" s="17" t="str"/>
    </x:row>
    <x:row r="11">
      <x:c r="A11" s="28" t="n">
        <x:v>7</x:v>
      </x:c>
      <x:c r="B11" s="17" t="str">
        <x:v>背景</x:v>
      </x:c>
      <x:c r="C11" s="17" t="str">
        <x:v>无透明通道，背景完全不透明</x:v>
      </x:c>
      <x:c r="D11" s="17" t="str"/>
      <x:c r="E11" s="28" t="str">
        <x:v>待检查</x:v>
      </x:c>
      <x:c r="F11" s="17" t="str"/>
    </x:row>
    <x:row r="12">
      <x:c r="A12" s="28" t="n">
        <x:v>8</x:v>
      </x:c>
      <x:c r="B12" s="17" t="str">
        <x:v>文件大小</x:v>
      </x:c>
      <x:c r="C12" s="17" t="str">
        <x:v>单张小于2 MB</x:v>
      </x:c>
      <x:c r="D12" s="17" t="str"/>
      <x:c r="E12" s="28" t="str">
        <x:v>待检查</x:v>
      </x:c>
      <x:c r="F12" s="17" t="str"/>
    </x:row>
    <x:row r="13">
      <x:c r="A13" s="28" t="n">
        <x:v>9</x:v>
      </x:c>
      <x:c r="B13" s="17" t="str">
        <x:v>母本文字</x:v>
      </x:c>
      <x:c r="C13" s="17" t="str">
        <x:v>9项字符级100%命中，包括标点和空格</x:v>
      </x:c>
      <x:c r="D13" s="17" t="str"/>
      <x:c r="E13" s="28" t="str">
        <x:v>待检查</x:v>
      </x:c>
      <x:c r="F13" s="17" t="str"/>
    </x:row>
    <x:row r="14">
      <x:c r="A14" s="28" t="n">
        <x:v>10</x:v>
      </x:c>
      <x:c r="B14" s="17" t="str">
        <x:v>电话排版</x:v>
      </x:c>
      <x:c r="C14" s="17" t="str">
        <x:v>电话号码不跨行</x:v>
      </x:c>
      <x:c r="D14" s="17" t="str"/>
      <x:c r="E14" s="28" t="str">
        <x:v>待检查</x:v>
      </x:c>
      <x:c r="F14" s="17" t="str"/>
    </x:row>
    <x:row r="15">
      <x:c r="A15" s="28" t="n">
        <x:v>11</x:v>
      </x:c>
      <x:c r="B15" s="17" t="str">
        <x:v>时间排版</x:v>
      </x:c>
      <x:c r="C15" s="17" t="str">
        <x:v>时间信息不跨行</x:v>
      </x:c>
      <x:c r="D15" s="17" t="str"/>
      <x:c r="E15" s="28" t="str">
        <x:v>待检查</x:v>
      </x:c>
      <x:c r="F15" s="17" t="str"/>
    </x:row>
    <x:row r="16">
      <x:c r="A16" s="28" t="n">
        <x:v>12</x:v>
      </x:c>
      <x:c r="B16" s="17" t="str">
        <x:v>正文对比度</x:v>
      </x:c>
      <x:c r="C16" s="17" t="str">
        <x:v>≥4.5:1</x:v>
      </x:c>
      <x:c r="D16" s="17" t="str"/>
      <x:c r="E16" s="28" t="str">
        <x:v>待检查</x:v>
      </x:c>
      <x:c r="F16" s="17" t="str"/>
    </x:row>
    <x:row r="17">
      <x:c r="A17" s="28" t="n">
        <x:v>13</x:v>
      </x:c>
      <x:c r="B17" s="17" t="str">
        <x:v>大标题对比度</x:v>
      </x:c>
      <x:c r="C17" s="17" t="str">
        <x:v>≥3:1</x:v>
      </x:c>
      <x:c r="D17" s="17" t="str"/>
      <x:c r="E17" s="28" t="str">
        <x:v>待检查</x:v>
      </x:c>
      <x:c r="F17" s="17" t="str"/>
    </x:row>
    <x:row r="18">
      <x:c r="A18" s="28" t="n">
        <x:v>14</x:v>
      </x:c>
      <x:c r="B18" s="17" t="str">
        <x:v>正文字号</x:v>
      </x:c>
      <x:c r="C18" s="17" t="str">
        <x:v>1080 px宽基准下≥34 px</x:v>
      </x:c>
      <x:c r="D18" s="17" t="str"/>
      <x:c r="E18" s="28" t="str">
        <x:v>待检查</x:v>
      </x:c>
      <x:c r="F18" s="17" t="str"/>
    </x:row>
    <x:row r="19">
      <x:c r="A19" s="28" t="n">
        <x:v>15</x:v>
      </x:c>
      <x:c r="B19" s="17" t="str">
        <x:v>关键内容安全区</x:v>
      </x:c>
      <x:c r="C19" s="17" t="str">
        <x:v>电话和地点不进入画面最外圈10%区域</x:v>
      </x:c>
      <x:c r="D19" s="17" t="str"/>
      <x:c r="E19" s="28" t="str">
        <x:v>待检查</x:v>
      </x:c>
      <x:c r="F19" s="17" t="str"/>
    </x:row>
    <x:row r="20">
      <x:c r="A20" s="28" t="n">
        <x:v>16</x:v>
      </x:c>
      <x:c r="B20" s="17" t="str">
        <x:v>灰度层级</x:v>
      </x:c>
      <x:c r="C20" s="17" t="str">
        <x:v>转灰度后仍有4级可区分信息层级</x:v>
      </x:c>
      <x:c r="D20" s="17" t="str"/>
      <x:c r="E20" s="28" t="str">
        <x:v>待检查</x:v>
      </x:c>
      <x:c r="F20" s="17" t="str"/>
    </x:row>
    <x:row r="21">
      <x:c r="A21" s="28" t="n">
        <x:v>17</x:v>
      </x:c>
      <x:c r="B21" s="17" t="str">
        <x:v>英文专名</x:v>
      </x:c>
      <x:c r="C21" s="17" t="str">
        <x:v>两个 Community (Health and) Service Center 分别保留，不被错误统一</x:v>
      </x:c>
      <x:c r="D21" s="17" t="str"/>
      <x:c r="E21" s="28" t="str">
        <x:v>待检查</x:v>
      </x:c>
      <x:c r="F21" s="17" t="str"/>
    </x:row>
    <x:row r="22">
      <x:c r="A22" s="28" t="n">
        <x:v>18</x:v>
      </x:c>
      <x:c r="B22" s="17" t="str">
        <x:v>CMYK软打样</x:v>
      </x:c>
      <x:c r="C22" s="17" t="str">
        <x:v>冻结色彩前已检查印刷转换效果</x:v>
      </x:c>
      <x:c r="D22" s="17" t="str"/>
      <x:c r="E22" s="28" t="str">
        <x:v>待检查</x:v>
      </x:c>
      <x:c r="F22" s="17" t="str"/>
    </x:row>
    <x:row r="23">
      <x:c r="A23" s="28" t="n">
        <x:v>19</x:v>
      </x:c>
      <x:c r="B23" s="17" t="str">
        <x:v>打印版分辨率</x:v>
      </x:c>
      <x:c r="C23" s="17" t="str">
        <x:v>成品区2400×3000 px @300 dpi</x:v>
      </x:c>
      <x:c r="D23" s="17" t="str"/>
      <x:c r="E23" s="28" t="str">
        <x:v>待检查</x:v>
      </x:c>
      <x:c r="F23" s="17" t="str"/>
    </x:row>
    <x:row r="24">
      <x:c r="A24" s="30" t="n">
        <x:v>20</x:v>
      </x:c>
      <x:c r="B24" s="18" t="str">
        <x:v>出血</x:v>
      </x:c>
      <x:c r="C24" s="18" t="str">
        <x:v>每边3 mm；总尺寸约2471×3071 px</x:v>
      </x:c>
      <x:c r="D24" s="18" t="str"/>
      <x:c r="E24" s="30" t="str">
        <x:v>待检查</x:v>
      </x:c>
      <x:c r="F24" s="18" t="str"/>
    </x:row>
  </x:sheetData>
  <x:conditionalFormatting sqref="E5:E24">
    <x:cfRule type="expression" dxfId="10" priority="1">
      <x:formula>$E5="PASS"</x:formula>
    </x:cfRule>
    <x:cfRule type="expression" dxfId="11" priority="2">
      <x:formula>$E5="FAIL"</x:formula>
    </x:cfRule>
    <x:cfRule type="expression" dxfId="12" priority="3">
      <x:formula>$E5="豁免"</x:formula>
    </x:cfRule>
    <x:cfRule type="expression" dxfId="13" priority="4">
      <x:formula>$E5="待检查"</x:formula>
    </x:cfRule>
  </x:conditionalFormatting>
  <x:dataValidations count="1">
    <x:dataValidation type="list" sqref="E5:E24">
      <x:formula1>"待检查,PASS,FAIL,豁免"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1" hidden="0" customWidth="1"/>
    <x:col min="5" max="5" width="34" hidden="0" customWidth="1"/>
    <x:col min="6" max="6" width="34" hidden="0" customWidth="1"/>
    <x:col min="7" max="7" width="13" hidden="0" customWidth="1"/>
    <x:col min="8" max="8" width="32" hidden="0" customWidth="1"/>
    <x:col min="9" max="9" width="32" hidden="0" customWidth="1"/>
  </x:cols>
  <x:sheetData>
    <x:row r="2">
      <x:c r="A2" s="2" t="str">
        <x:v>Gate 1–4 审核记录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0" customHeight="1">
      <x:c r="A4" s="11" t="str">
        <x:v>Gate</x:v>
      </x:c>
      <x:c r="B4" s="25" t="str">
        <x:v>建议审核重点</x:v>
      </x:c>
      <x:c r="C4" s="25" t="str">
        <x:v>签字人</x:v>
      </x:c>
      <x:c r="D4" s="25" t="str">
        <x:v>时间</x:v>
      </x:c>
      <x:c r="E4" s="25" t="str">
        <x:v>AI提交物</x:v>
      </x:c>
      <x:c r="F4" s="25" t="str">
        <x:v>判断依据</x:v>
      </x:c>
      <x:c r="G4" s="25" t="str">
        <x:v>结论</x:v>
      </x:c>
      <x:c r="H4" s="25" t="str">
        <x:v>退回意见</x:v>
      </x:c>
      <x:c r="I4" s="12" t="str">
        <x:v>回退目标</x:v>
      </x:c>
    </x:row>
    <x:row r="5" ht="62" customHeight="1">
      <x:c r="A5" s="47" t="str">
        <x:v>Gate 1</x:v>
      </x:c>
      <x:c r="B5" s="17" t="str">
        <x:v>主题分类、任务边界、母本完整性</x:v>
      </x:c>
      <x:c r="C5" s="17" t="str"/>
      <x:c r="D5" s="49"/>
      <x:c r="E5" s="17" t="str"/>
      <x:c r="F5" s="17" t="str"/>
      <x:c r="G5" s="28" t="str">
        <x:v>待审核</x:v>
      </x:c>
      <x:c r="H5" s="17" t="str"/>
      <x:c r="I5" s="17" t="str"/>
    </x:row>
    <x:row r="6" ht="62" customHeight="1">
      <x:c r="A6" s="47" t="str">
        <x:v>Gate 2</x:v>
      </x:c>
      <x:c r="B6" s="17" t="str">
        <x:v>文案零改写、双语准确性、依据可靠性</x:v>
      </x:c>
      <x:c r="C6" s="17" t="str"/>
      <x:c r="D6" s="49"/>
      <x:c r="E6" s="17" t="str"/>
      <x:c r="F6" s="17" t="str"/>
      <x:c r="G6" s="28" t="str">
        <x:v>待审核</x:v>
      </x:c>
      <x:c r="H6" s="17" t="str"/>
      <x:c r="I6" s="17" t="str"/>
    </x:row>
    <x:row r="7" ht="62" customHeight="1">
      <x:c r="A7" s="47" t="str">
        <x:v>Gate 3</x:v>
      </x:c>
      <x:c r="B7" s="17" t="str">
        <x:v>视觉规范、可读性、对比度、灰度和印刷表现</x:v>
      </x:c>
      <x:c r="C7" s="17" t="str"/>
      <x:c r="D7" s="49"/>
      <x:c r="E7" s="17" t="str"/>
      <x:c r="F7" s="17" t="str"/>
      <x:c r="G7" s="28" t="str">
        <x:v>待审核</x:v>
      </x:c>
      <x:c r="H7" s="17" t="str"/>
      <x:c r="I7" s="17" t="str"/>
    </x:row>
    <x:row r="8" ht="62" customHeight="1">
      <x:c r="A8" s="48" t="str">
        <x:v>Gate 4</x:v>
      </x:c>
      <x:c r="B8" s="18" t="str">
        <x:v>文件规格、命名、证据链和最终交付完整性</x:v>
      </x:c>
      <x:c r="C8" s="18" t="str"/>
      <x:c r="D8" s="50"/>
      <x:c r="E8" s="18" t="str"/>
      <x:c r="F8" s="18" t="str"/>
      <x:c r="G8" s="30" t="str">
        <x:v>待审核</x:v>
      </x:c>
      <x:c r="H8" s="18" t="str"/>
      <x:c r="I8" s="18" t="str"/>
    </x:row>
  </x:sheetData>
  <x:conditionalFormatting sqref="G5:G8">
    <x:cfRule type="expression" dxfId="14" priority="1">
      <x:formula>$G5="通过"</x:formula>
    </x:cfRule>
    <x:cfRule type="expression" dxfId="15" priority="2">
      <x:formula>$G5="退回"</x:formula>
    </x:cfRule>
    <x:cfRule type="expression" dxfId="16" priority="3">
      <x:formula>$G5="待审核"</x:formula>
    </x:cfRule>
  </x:conditionalFormatting>
  <x:dataValidations count="1">
    <x:dataValidation type="list" sqref="G5:G8">
      <x:formula1>"待审核,通过,退回"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33A35"/>
  </x:sheetPr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2">
      <x:c r="A2" s="2" t="str">
        <x:v>重点风险控制</x:v>
      </x:c>
      <x:c r="B2" s="55"/>
      <x:c r="C2" s="55"/>
      <x:c r="D2" s="55"/>
    </x:row>
    <x:row r="3" ht="3" customHeight="1">
      <x:c r="A3" s="56"/>
      <x:c r="B3" s="56"/>
      <x:c r="C3" s="56"/>
      <x:c r="D3" s="56"/>
    </x:row>
    <x:row r="4" ht="30" customHeight="1">
      <x:c r="A4" s="11" t="str">
        <x:v>风险</x:v>
      </x:c>
      <x:c r="B4" s="25" t="str">
        <x:v>常见问题</x:v>
      </x:c>
      <x:c r="C4" s="25" t="str">
        <x:v>必做控制</x:v>
      </x:c>
      <x:c r="D4" s="12" t="str">
        <x:v>否决条件</x:v>
      </x:c>
    </x:row>
    <x:row r="5" ht="56" customHeight="1">
      <x:c r="A5" s="53" t="str">
        <x:v>CMYK变色</x:v>
      </x:c>
      <x:c r="B5" s="17" t="str">
        <x:v>鲜艳青蓝印刷后发灰或偏色</x:v>
      </x:c>
      <x:c r="C5" s="17" t="str">
        <x:v>冻结色彩前完成一次CMYK软打样</x:v>
      </x:c>
      <x:c r="D5" s="17" t="str">
        <x:v>未检查印刷转换效果且直接定稿</x:v>
      </x:c>
    </x:row>
    <x:row r="6" ht="56" customHeight="1">
      <x:c r="A6" s="53" t="str">
        <x:v>灰度塌层级</x:v>
      </x:c>
      <x:c r="B6" s="17" t="str">
        <x:v>橙色警示条与浅灰背景混为一体</x:v>
      </x:c>
      <x:c r="C6" s="17" t="str">
        <x:v>层级同时使用边框、图标、粗细和明度差，不只依赖颜色</x:v>
      </x:c>
      <x:c r="D6" s="17" t="str">
        <x:v>灰度下无法识别4级层级</x:v>
      </x:c>
    </x:row>
    <x:row r="7" ht="56" customHeight="1">
      <x:c r="A7" s="54" t="str">
        <x:v>缺少证据链</x:v>
      </x:c>
      <x:c r="B7" s="18" t="str">
        <x:v>只交两张PNG，无法证明内容可靠</x:v>
      </x:c>
      <x:c r="C7" s="18" t="str">
        <x:v>同步提交copy-diff、四张Gate记录及适用的回退日志</x:v>
      </x:c>
      <x:c r="D7" s="18" t="str">
        <x:v>必需记录缺失或无法追溯审批过程</x:v>
      </x:c>
    </x:row>
    <x:row r="8">
      <x:c r="A8" s="55"/>
      <x:c r="B8" s="55"/>
      <x:c r="C8" s="55"/>
      <x:c r="D8" s="55"/>
    </x:row>
    <x:row r="9">
      <x:c r="A9" s="58" t="str">
        <x:v>说明</x:v>
      </x:c>
      <x:c r="B9" s="58" t="str">
        <x:v>说明</x:v>
      </x:c>
      <x:c r="C9" s="58" t="str">
        <x:v>说明</x:v>
      </x:c>
      <x:c r="D9" s="58" t="str">
        <x:v>说明</x:v>
      </x:c>
    </x:row>
    <x:row r="10" ht="34" customHeight="1">
      <x:c r="A10" s="17" t="str">
        <x:v>“必需6件”按交付类别计数；由于Gate记录包含4个独立文件，按实际文件数计算为9个必需文件。</x:v>
      </x:c>
      <x:c r="B10" s="17"/>
      <x:c r="C10" s="17"/>
      <x:c r="D10" s="17"/>
    </x:row>
    <x:row r="11" ht="34" customHeight="1">
      <x:c r="A11" s="18" t="str">
        <x:v>打印版总尺寸“约2471×3071 px”按3 mm出血近似值记录；最终输出需结合实际页面尺寸与300 dpi设置复核。</x:v>
      </x:c>
      <x:c r="B11" s="18"/>
      <x:c r="C11" s="18"/>
      <x:c r="D11" s="18"/>
    </x:row>
  </x:sheetData>
  <x:mergeCells>
    <x:mergeCell ref="A9:D9"/>
    <x:mergeCell ref="A10:D10"/>
    <x:mergeCell ref="A11:D11"/>
  </x:mergeCells>
  <x:pageMargins left="0.7" right="0.7" top="0.75" bottom="0.75" header="0.3" footer="0.3"/>
</x:worksheet>
</file>